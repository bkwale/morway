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it Economic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<sst xmlns="http://schemas.openxmlformats.org/spreadsheetml/2006/main" count="67" uniqueCount="67">
  <si>
    <t xml:space="preserve">MORWAY — Unit Economics Model</t>
  </si>
  <si>
    <t xml:space="preserve">Single Firm Analysis (Per Month)</t>
  </si>
  <si>
    <t xml:space="preserve">ASSUMPTIONS</t>
  </si>
  <si>
    <t xml:space="preserve">Number of clients (firm)</t>
  </si>
  <si>
    <t xml:space="preserve">Blue = input you can change</t>
  </si>
  <si>
    <t xml:space="preserve">Price per client per month (€)</t>
  </si>
  <si>
    <t xml:space="preserve">Your pricing to the firm</t>
  </si>
  <si>
    <t xml:space="preserve">Avg invoices per client per month</t>
  </si>
  <si>
    <t xml:space="preserve">Typical for agri clients</t>
  </si>
  <si>
    <t xml:space="preserve">Storecove cost per document (€)</t>
  </si>
  <si>
    <t xml:space="preserve">Peppol access point fee</t>
  </si>
  <si>
    <t xml:space="preserve">Vercel Pro (€/mo)</t>
  </si>
  <si>
    <t xml:space="preserve">Hosting</t>
  </si>
  <si>
    <t xml:space="preserve">Turso DB (€/mo)</t>
  </si>
  <si>
    <t xml:space="preserve">Database</t>
  </si>
  <si>
    <t xml:space="preserve">Resend email (€/mo)</t>
  </si>
  <si>
    <t xml:space="preserve">Notification emails</t>
  </si>
  <si>
    <t xml:space="preserve">Google Workspace (€/mo)</t>
  </si>
  <si>
    <t xml:space="preserve">walt@morway.app</t>
  </si>
  <si>
    <t xml:space="preserve">Domain (€/mo, amortised)</t>
  </si>
  <si>
    <t xml:space="preserve">morway.app annual / 12</t>
  </si>
  <si>
    <t xml:space="preserve">REVENUE (Monthly)</t>
  </si>
  <si>
    <t xml:space="preserve">Monthly recurring revenue</t>
  </si>
  <si>
    <t xml:space="preserve">Annual recurring revenue</t>
  </si>
  <si>
    <t xml:space="preserve">VOLUME</t>
  </si>
  <si>
    <t xml:space="preserve">Total invoices per month</t>
  </si>
  <si>
    <t xml:space="preserve">Total invoices per year</t>
  </si>
  <si>
    <t xml:space="preserve">Revenue per invoice</t>
  </si>
  <si>
    <t xml:space="preserve">OPERATING COSTS (Monthly)</t>
  </si>
  <si>
    <t xml:space="preserve">Peppol / Storecove fees</t>
  </si>
  <si>
    <t xml:space="preserve">  % of revenue</t>
  </si>
  <si>
    <t xml:space="preserve">Vercel Pro</t>
  </si>
  <si>
    <t xml:space="preserve">Turso database</t>
  </si>
  <si>
    <t xml:space="preserve">Resend email</t>
  </si>
  <si>
    <t xml:space="preserve">Google Workspace</t>
  </si>
  <si>
    <t xml:space="preserve">Domain (amortised)</t>
  </si>
  <si>
    <t xml:space="preserve">TOTAL OPERATING COSTS (Monthly)</t>
  </si>
  <si>
    <t xml:space="preserve">Total operating costs (Annual)</t>
  </si>
  <si>
    <t xml:space="preserve">PROFIT</t>
  </si>
  <si>
    <t xml:space="preserve">Monthly gross profit</t>
  </si>
  <si>
    <t xml:space="preserve">Annual gross profit</t>
  </si>
  <si>
    <t xml:space="preserve">Gross margin</t>
  </si>
  <si>
    <t xml:space="preserve">Cost per invoice processed</t>
  </si>
  <si>
    <t xml:space="preserve">Profit per invoice</t>
  </si>
  <si>
    <t xml:space="preserve">BREAKEVEN ANALYSIS</t>
  </si>
  <si>
    <t xml:space="preserve">Fixed costs per month (infra only)</t>
  </si>
  <si>
    <t xml:space="preserve">Contribution per client (price - variable cost)</t>
  </si>
  <si>
    <t xml:space="preserve">Breakeven clients needed</t>
  </si>
  <si>
    <t xml:space="preserve">  That's roughly this many firms (at 500 clients each)</t>
  </si>
  <si>
    <t xml:space="preserve">SCENARIO: Email Ingestion (No Peppol)</t>
  </si>
  <si>
    <t xml:space="preserve">Monthly revenue (same)</t>
  </si>
  <si>
    <t xml:space="preserve">Monthly costs (infra only, no Storecove)</t>
  </si>
  <si>
    <t xml:space="preserve">Monthly profit (no Peppol)</t>
  </si>
  <si>
    <t xml:space="preserve">Annual profit (no Peppol)</t>
  </si>
  <si>
    <t xml:space="preserve">Gross margin (no Peppol)</t>
  </si>
  <si>
    <t xml:space="preserve">Savings vs Peppol (monthly)</t>
  </si>
  <si>
    <t xml:space="preserve">Storecove fees you avoid</t>
  </si>
  <si>
    <t xml:space="preserve">SCALE: 10 Firms × 500 Clients</t>
  </si>
  <si>
    <t xml:space="preserve">Number of firms</t>
  </si>
  <si>
    <t xml:space="preserve">Monthly revenue</t>
  </si>
  <si>
    <t xml:space="preserve">Monthly Peppol costs</t>
  </si>
  <si>
    <t xml:space="preserve">Monthly infra costs (shared, not per-firm)</t>
  </si>
  <si>
    <t xml:space="preserve">Infra doesn't scale linearly</t>
  </si>
  <si>
    <t xml:space="preserve">Total monthly costs (10 firms)</t>
  </si>
  <si>
    <t xml:space="preserve">Monthly profit (10 firms)</t>
  </si>
  <si>
    <t xml:space="preserve">Annual profit (10 firms)</t>
  </si>
  <si>
    <t xml:space="preserve">Gross margin (10 firms)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</si>
</sst>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\€#,##0.00;&quot;(€&quot;#,##0.00\);\-"/>
    <numFmt numFmtId="167" formatCode="\€#,##0;&quot;(€&quot;#,##0\);\-"/>
    <numFmt numFmtId="168" formatCode="0.0%"/>
    <numFmt numFmtId="169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172A"/>
      <name val="Arial"/>
      <family val="0"/>
      <charset val="1"/>
    </font>
    <font>
      <sz val="10"/>
      <color rgb="FF64748B"/>
      <name val="Arial"/>
      <family val="0"/>
      <charset val="1"/>
    </font>
    <font>
      <b val="true"/>
      <sz val="11"/>
      <color rgb="FF0F172A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BEAFE"/>
        <bgColor rgb="FFE2E8F0"/>
      </patternFill>
    </fill>
    <fill>
      <patternFill patternType="solid">
        <fgColor rgb="FFECFDF5"/>
        <bgColor rgb="FFE2E8F0"/>
      </patternFill>
    </fill>
    <fill>
      <patternFill patternType="solid">
        <fgColor rgb="FFFEE2E2"/>
        <bgColor rgb="FFFEF3C7"/>
      </patternFill>
    </fill>
    <fill>
      <patternFill patternType="solid">
        <fgColor rgb="FFFEF3C7"/>
        <bgColor rgb="FFFEE2E2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0F172A"/>
      </bottom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/>
      <right/>
      <top style="medium">
        <color rgb="FF0F172A"/>
      </top>
      <bottom style="double">
        <color rgb="FF0F172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7" fontId="11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bottom" textRotation="0" wrapText="false" indent="2" shrinkToFit="false"/>
      <protection locked="true" hidden="false"/>
    </xf>
    <xf numFmtId="168" fontId="11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CFDF5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BEA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F172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4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/>
      <c r="C4" s="5"/>
    </row>
    <row r="5" customFormat="false" ht="15" hidden="false" customHeight="true" outlineLevel="0" collapsed="false">
      <c r="A5" s="6" t="s">
        <v>3</v>
      </c>
      <c r="B5" s="7" t="n">
        <v>500</v>
      </c>
      <c r="C5" s="8" t="s">
        <v>4</v>
      </c>
    </row>
    <row r="6" customFormat="false" ht="15" hidden="false" customHeight="true" outlineLevel="0" collapsed="false">
      <c r="A6" s="6" t="s">
        <v>5</v>
      </c>
      <c r="B6" s="9" t="n">
        <v>5</v>
      </c>
      <c r="C6" s="8" t="s">
        <v>6</v>
      </c>
    </row>
    <row r="7" customFormat="false" ht="15" hidden="false" customHeight="true" outlineLevel="0" collapsed="false">
      <c r="A7" s="6" t="s">
        <v>7</v>
      </c>
      <c r="B7" s="7" t="n">
        <v>25</v>
      </c>
      <c r="C7" s="8" t="s">
        <v>8</v>
      </c>
    </row>
    <row r="8" customFormat="false" ht="15" hidden="false" customHeight="true" outlineLevel="0" collapsed="false">
      <c r="A8" s="6" t="s">
        <v>9</v>
      </c>
      <c r="B8" s="9" t="n">
        <v>0.15</v>
      </c>
      <c r="C8" s="8" t="s">
        <v>10</v>
      </c>
    </row>
    <row r="9" customFormat="false" ht="15" hidden="false" customHeight="true" outlineLevel="0" collapsed="false">
      <c r="A9" s="6" t="s">
        <v>11</v>
      </c>
      <c r="B9" s="9" t="n">
        <v>20</v>
      </c>
      <c r="C9" s="8" t="s">
        <v>12</v>
      </c>
    </row>
    <row r="10" customFormat="false" ht="15" hidden="false" customHeight="true" outlineLevel="0" collapsed="false">
      <c r="A10" s="6" t="s">
        <v>13</v>
      </c>
      <c r="B10" s="9" t="n">
        <v>29</v>
      </c>
      <c r="C10" s="8" t="s">
        <v>14</v>
      </c>
    </row>
    <row r="11" customFormat="false" ht="15" hidden="false" customHeight="true" outlineLevel="0" collapsed="false">
      <c r="A11" s="6" t="s">
        <v>15</v>
      </c>
      <c r="B11" s="9" t="n">
        <v>20</v>
      </c>
      <c r="C11" s="8" t="s">
        <v>16</v>
      </c>
    </row>
    <row r="12" customFormat="false" ht="15" hidden="false" customHeight="true" outlineLevel="0" collapsed="false">
      <c r="A12" s="6" t="s">
        <v>17</v>
      </c>
      <c r="B12" s="9" t="n">
        <v>7</v>
      </c>
      <c r="C12" s="8" t="s">
        <v>18</v>
      </c>
    </row>
    <row r="13" customFormat="false" ht="15" hidden="false" customHeight="true" outlineLevel="0" collapsed="false">
      <c r="A13" s="6" t="s">
        <v>19</v>
      </c>
      <c r="B13" s="9" t="n">
        <v>2</v>
      </c>
      <c r="C13" s="8" t="s">
        <v>20</v>
      </c>
    </row>
    <row r="15" customFormat="false" ht="15" hidden="false" customHeight="true" outlineLevel="0" collapsed="false">
      <c r="A15" s="4" t="s">
        <v>21</v>
      </c>
      <c r="B15" s="5"/>
    </row>
    <row r="16" customFormat="false" ht="15" hidden="false" customHeight="true" outlineLevel="0" collapsed="false">
      <c r="A16" s="6" t="s">
        <v>22</v>
      </c>
      <c r="B16" s="10" t="n">
        <f aca="false">B5*B6</f>
        <v>2500</v>
      </c>
    </row>
    <row r="17" customFormat="false" ht="15" hidden="false" customHeight="true" outlineLevel="0" collapsed="false">
      <c r="A17" s="6" t="s">
        <v>23</v>
      </c>
      <c r="B17" s="10" t="n">
        <f aca="false">B16*12</f>
        <v>30000</v>
      </c>
    </row>
    <row r="19" customFormat="false" ht="15" hidden="false" customHeight="true" outlineLevel="0" collapsed="false">
      <c r="A19" s="4" t="s">
        <v>24</v>
      </c>
      <c r="B19" s="5"/>
    </row>
    <row r="20" customFormat="false" ht="15" hidden="false" customHeight="true" outlineLevel="0" collapsed="false">
      <c r="A20" s="6" t="s">
        <v>25</v>
      </c>
      <c r="B20" s="11" t="n">
        <f aca="false">B5*B7</f>
        <v>12500</v>
      </c>
    </row>
    <row r="21" customFormat="false" ht="15" hidden="false" customHeight="true" outlineLevel="0" collapsed="false">
      <c r="A21" s="6" t="s">
        <v>26</v>
      </c>
      <c r="B21" s="11" t="n">
        <f aca="false">B20*12</f>
        <v>150000</v>
      </c>
    </row>
    <row r="22" customFormat="false" ht="15" hidden="false" customHeight="true" outlineLevel="0" collapsed="false">
      <c r="A22" s="6" t="s">
        <v>27</v>
      </c>
      <c r="B22" s="12" t="n">
        <f aca="false">IF(B20&gt;0,B16/B20,0)</f>
        <v>0.2</v>
      </c>
    </row>
    <row r="24" customFormat="false" ht="15" hidden="false" customHeight="true" outlineLevel="0" collapsed="false">
      <c r="A24" s="4" t="s">
        <v>28</v>
      </c>
      <c r="B24" s="5"/>
    </row>
    <row r="25" customFormat="false" ht="15" hidden="false" customHeight="true" outlineLevel="0" collapsed="false">
      <c r="A25" s="13" t="s">
        <v>29</v>
      </c>
      <c r="B25" s="14" t="n">
        <f aca="false">B20*B8</f>
        <v>1875</v>
      </c>
    </row>
    <row r="26" customFormat="false" ht="15" hidden="false" customHeight="true" outlineLevel="0" collapsed="false">
      <c r="A26" s="15" t="s">
        <v>30</v>
      </c>
      <c r="B26" s="16" t="n">
        <f aca="false">IF(B16&gt;0,B25/B16,0)</f>
        <v>0.75</v>
      </c>
    </row>
    <row r="27" customFormat="false" ht="15" hidden="false" customHeight="true" outlineLevel="0" collapsed="false">
      <c r="A27" s="13" t="s">
        <v>31</v>
      </c>
      <c r="B27" s="17" t="n">
        <f aca="false">B9</f>
        <v>20</v>
      </c>
    </row>
    <row r="28" customFormat="false" ht="15" hidden="false" customHeight="true" outlineLevel="0" collapsed="false">
      <c r="A28" s="13" t="s">
        <v>32</v>
      </c>
      <c r="B28" s="17" t="n">
        <f aca="false">B10</f>
        <v>29</v>
      </c>
    </row>
    <row r="29" customFormat="false" ht="15" hidden="false" customHeight="true" outlineLevel="0" collapsed="false">
      <c r="A29" s="13" t="s">
        <v>33</v>
      </c>
      <c r="B29" s="17" t="n">
        <f aca="false">B11</f>
        <v>20</v>
      </c>
    </row>
    <row r="30" customFormat="false" ht="15" hidden="false" customHeight="true" outlineLevel="0" collapsed="false">
      <c r="A30" s="13" t="s">
        <v>34</v>
      </c>
      <c r="B30" s="17" t="n">
        <f aca="false">B12</f>
        <v>7</v>
      </c>
    </row>
    <row r="31" customFormat="false" ht="15" hidden="false" customHeight="true" outlineLevel="0" collapsed="false">
      <c r="A31" s="13" t="s">
        <v>35</v>
      </c>
      <c r="B31" s="17" t="n">
        <f aca="false">B13</f>
        <v>2</v>
      </c>
    </row>
    <row r="33" customFormat="false" ht="15" hidden="false" customHeight="true" outlineLevel="0" collapsed="false">
      <c r="A33" s="18" t="s">
        <v>36</v>
      </c>
      <c r="B33" s="19" t="n">
        <f aca="false">SUM(B25,B27:B31)</f>
        <v>1953</v>
      </c>
    </row>
    <row r="34" customFormat="false" ht="15" hidden="false" customHeight="true" outlineLevel="0" collapsed="false">
      <c r="A34" s="6" t="s">
        <v>37</v>
      </c>
      <c r="B34" s="17" t="n">
        <f aca="false">B33*12</f>
        <v>23436</v>
      </c>
    </row>
    <row r="36" customFormat="false" ht="15" hidden="false" customHeight="true" outlineLevel="0" collapsed="false">
      <c r="A36" s="4" t="s">
        <v>38</v>
      </c>
      <c r="B36" s="5"/>
    </row>
    <row r="37" customFormat="false" ht="15" hidden="false" customHeight="true" outlineLevel="0" collapsed="false">
      <c r="A37" s="18" t="s">
        <v>39</v>
      </c>
      <c r="B37" s="20" t="n">
        <f aca="false">B16-B33</f>
        <v>547</v>
      </c>
    </row>
    <row r="38" customFormat="false" ht="15" hidden="false" customHeight="true" outlineLevel="0" collapsed="false">
      <c r="A38" s="18" t="s">
        <v>40</v>
      </c>
      <c r="B38" s="20" t="n">
        <f aca="false">B37*12</f>
        <v>6564</v>
      </c>
    </row>
    <row r="39" customFormat="false" ht="15" hidden="false" customHeight="true" outlineLevel="0" collapsed="false">
      <c r="A39" s="6" t="s">
        <v>41</v>
      </c>
      <c r="B39" s="21" t="n">
        <f aca="false">IF(B16&gt;0,B37/B16,0)</f>
        <v>0.2188</v>
      </c>
    </row>
    <row r="40" customFormat="false" ht="15" hidden="false" customHeight="true" outlineLevel="0" collapsed="false">
      <c r="A40" s="6" t="s">
        <v>42</v>
      </c>
      <c r="B40" s="12" t="n">
        <f aca="false">IF(B20&gt;0,B33/B20,0)</f>
        <v>0.15624</v>
      </c>
    </row>
    <row r="41" customFormat="false" ht="15" hidden="false" customHeight="true" outlineLevel="0" collapsed="false">
      <c r="A41" s="6" t="s">
        <v>43</v>
      </c>
      <c r="B41" s="12" t="n">
        <f aca="false">IF(B20&gt;0,B37/B20,0)</f>
        <v>0.04376</v>
      </c>
    </row>
    <row r="43" customFormat="false" ht="15" hidden="false" customHeight="true" outlineLevel="0" collapsed="false">
      <c r="A43" s="4" t="s">
        <v>44</v>
      </c>
      <c r="B43" s="5"/>
    </row>
    <row r="44" customFormat="false" ht="15" hidden="false" customHeight="true" outlineLevel="0" collapsed="false">
      <c r="A44" s="6" t="s">
        <v>45</v>
      </c>
      <c r="B44" s="17" t="n">
        <f aca="false">SUM(B27:B31)</f>
        <v>78</v>
      </c>
    </row>
    <row r="45" customFormat="false" ht="15" hidden="false" customHeight="true" outlineLevel="0" collapsed="false">
      <c r="A45" s="6" t="s">
        <v>46</v>
      </c>
      <c r="B45" s="12" t="n">
        <f aca="false">B6-(B7*B8)</f>
        <v>1.25</v>
      </c>
    </row>
    <row r="46" customFormat="false" ht="15" hidden="false" customHeight="true" outlineLevel="0" collapsed="false">
      <c r="A46" s="18" t="s">
        <v>47</v>
      </c>
      <c r="B46" s="22" t="n">
        <f aca="false">IF(B45&gt;0,ROUNDUP(B44/B45,0),0)</f>
        <v>63</v>
      </c>
    </row>
    <row r="47" customFormat="false" ht="15" hidden="false" customHeight="true" outlineLevel="0" collapsed="false">
      <c r="A47" s="15" t="s">
        <v>48</v>
      </c>
      <c r="B47" s="23" t="n">
        <f aca="false">IF(B5&gt;0,ROUNDUP(B46/B5,1),0)</f>
        <v>0.2</v>
      </c>
    </row>
    <row r="49" customFormat="false" ht="15" hidden="false" customHeight="true" outlineLevel="0" collapsed="false">
      <c r="A49" s="4" t="s">
        <v>49</v>
      </c>
      <c r="B49" s="5"/>
      <c r="C49" s="5"/>
    </row>
    <row r="50" customFormat="false" ht="15" hidden="false" customHeight="true" outlineLevel="0" collapsed="false">
      <c r="A50" s="6" t="s">
        <v>50</v>
      </c>
      <c r="B50" s="17" t="n">
        <f aca="false">B16</f>
        <v>2500</v>
      </c>
    </row>
    <row r="51" customFormat="false" ht="15" hidden="false" customHeight="true" outlineLevel="0" collapsed="false">
      <c r="A51" s="6" t="s">
        <v>51</v>
      </c>
      <c r="B51" s="17" t="n">
        <f aca="false">SUM(B27:B31)</f>
        <v>78</v>
      </c>
    </row>
    <row r="52" customFormat="false" ht="15" hidden="false" customHeight="true" outlineLevel="0" collapsed="false">
      <c r="A52" s="18" t="s">
        <v>52</v>
      </c>
      <c r="B52" s="10" t="n">
        <f aca="false">B50-B51</f>
        <v>2422</v>
      </c>
    </row>
    <row r="53" customFormat="false" ht="15" hidden="false" customHeight="true" outlineLevel="0" collapsed="false">
      <c r="A53" s="18" t="s">
        <v>53</v>
      </c>
      <c r="B53" s="10" t="n">
        <f aca="false">B52*12</f>
        <v>29064</v>
      </c>
    </row>
    <row r="54" customFormat="false" ht="15" hidden="false" customHeight="true" outlineLevel="0" collapsed="false">
      <c r="A54" s="6" t="s">
        <v>54</v>
      </c>
      <c r="B54" s="24" t="n">
        <f aca="false">IF(B50&gt;0,B52/B50,0)</f>
        <v>0.9688</v>
      </c>
    </row>
    <row r="55" customFormat="false" ht="15" hidden="false" customHeight="true" outlineLevel="0" collapsed="false">
      <c r="A55" s="6" t="s">
        <v>55</v>
      </c>
      <c r="B55" s="17" t="n">
        <f aca="false">B52-B37</f>
        <v>1875</v>
      </c>
      <c r="C55" s="8" t="s">
        <v>56</v>
      </c>
    </row>
    <row r="57" customFormat="false" ht="15" hidden="false" customHeight="true" outlineLevel="0" collapsed="false">
      <c r="A57" s="4" t="s">
        <v>57</v>
      </c>
      <c r="B57" s="5"/>
    </row>
    <row r="58" customFormat="false" ht="15" hidden="false" customHeight="true" outlineLevel="0" collapsed="false">
      <c r="A58" s="6" t="s">
        <v>58</v>
      </c>
      <c r="B58" s="7" t="n">
        <v>10</v>
      </c>
    </row>
    <row r="59" customFormat="false" ht="15" hidden="false" customHeight="true" outlineLevel="0" collapsed="false">
      <c r="A59" s="6" t="s">
        <v>59</v>
      </c>
      <c r="B59" s="25" t="n">
        <f aca="false">B16*B58</f>
        <v>25000</v>
      </c>
    </row>
    <row r="60" customFormat="false" ht="15" hidden="false" customHeight="true" outlineLevel="0" collapsed="false">
      <c r="A60" s="6" t="s">
        <v>60</v>
      </c>
      <c r="B60" s="17" t="n">
        <f aca="false">B25*B58</f>
        <v>18750</v>
      </c>
    </row>
    <row r="61" customFormat="false" ht="15" hidden="false" customHeight="true" outlineLevel="0" collapsed="false">
      <c r="A61" s="6" t="s">
        <v>61</v>
      </c>
      <c r="B61" s="17" t="n">
        <f aca="false">SUM(B27:B31)</f>
        <v>78</v>
      </c>
      <c r="C61" s="8" t="s">
        <v>62</v>
      </c>
    </row>
    <row r="62" customFormat="false" ht="15" hidden="false" customHeight="true" outlineLevel="0" collapsed="false">
      <c r="A62" s="6" t="s">
        <v>63</v>
      </c>
      <c r="B62" s="17" t="n">
        <f aca="false">B60+B61</f>
        <v>18828</v>
      </c>
    </row>
    <row r="63" customFormat="false" ht="15" hidden="false" customHeight="true" outlineLevel="0" collapsed="false">
      <c r="A63" s="18" t="s">
        <v>64</v>
      </c>
      <c r="B63" s="10" t="n">
        <f aca="false">B59-B62</f>
        <v>6172</v>
      </c>
    </row>
    <row r="64" customFormat="false" ht="15" hidden="false" customHeight="true" outlineLevel="0" collapsed="false">
      <c r="A64" s="18" t="s">
        <v>65</v>
      </c>
      <c r="B64" s="10" t="n">
        <f aca="false">B63*12</f>
        <v>74064</v>
      </c>
    </row>
    <row r="65" customFormat="false" ht="15" hidden="false" customHeight="true" outlineLevel="0" collapsed="false">
      <c r="A65" s="6" t="s">
        <v>66</v>
      </c>
      <c r="B65" s="26" t="n">
        <f aca="false">IF(B59&gt;0,B63/B59,0)</f>
        <v>0.24688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2026-03-11T22:34:43Z</dcterms:created>
  <dc:creator>openpyxl</dc:creator>
  <dc:description/>
  <dc:language>en-US</dc:language>
  <cp:lastModifiedBy/>
  <dcterms:modified xsi:type="dcterms:W3CDTF">2026-03-11T22:35:08Z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